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9497b80a9823fa/Documents/Obsidian vaults/Memoirs/"/>
    </mc:Choice>
  </mc:AlternateContent>
  <xr:revisionPtr revIDLastSave="71" documentId="8_{1C5C7C49-CCE9-4C99-976F-06AB5CC126FF}" xr6:coauthVersionLast="47" xr6:coauthVersionMax="47" xr10:uidLastSave="{AC61B5E1-96CD-4F12-AECC-A7605BE17F94}"/>
  <bookViews>
    <workbookView xWindow="6915" yWindow="3690" windowWidth="31785" windowHeight="15960" xr2:uid="{222B14A8-9088-4918-957B-40D4C37EE24E}"/>
  </bookViews>
  <sheets>
    <sheet name="correlation" sheetId="1" r:id="rId1"/>
    <sheet name="table-export-003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K1" i="1" s="1"/>
  <c r="K3" i="1" s="1" a="1"/>
  <c r="K3" i="1" s="1"/>
  <c r="K5" i="1" s="1" a="1"/>
  <c r="K5" i="1" s="1"/>
  <c r="K13" i="1" s="1" a="1"/>
  <c r="K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xl(%P2%,headers=True)
print(df.head())
</code>
    </pythonScript>
    <pythonScript>
      <code>corr_matrix = df.corr(method="pearson")
print(corr_matrix)</code>
    </pythonScript>
    <pythonScript>
      <code xml:space="preserve">corr_matrix        
</code>
    </pythonScript>
    <pythonScript>
      <code>import seaborn as sns
import matplotlib.pyplot as plt
plt.figure(figsize=(10, 8))
sns.heatmap(corr_matrix, annot=True, cmap="coolwarm", fmt=".2f")
plt.title("Correlation Matrix")
plt.show()</code>
    </pythonScript>
  </pythonScripts>
</python>
</file>

<file path=xl/sharedStrings.xml><?xml version="1.0" encoding="utf-8"?>
<sst xmlns="http://schemas.openxmlformats.org/spreadsheetml/2006/main" count="16" uniqueCount="10">
  <si>
    <t>coffee</t>
  </si>
  <si>
    <t>vyvanse</t>
  </si>
  <si>
    <t>sleep-hours</t>
  </si>
  <si>
    <t>fitbit-sleep-score</t>
  </si>
  <si>
    <t>wake-up-time</t>
  </si>
  <si>
    <t>-</t>
  </si>
  <si>
    <t>body-movement</t>
  </si>
  <si>
    <t>journal-date27</t>
  </si>
  <si>
    <t>journal-date</t>
  </si>
  <si>
    <t>Body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</si>
</sst>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20</xdr:col>
      <xdr:colOff>485775</xdr:colOff>
      <xdr:row>51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4D4A3-A63C-0DB6-9999-85525D9376A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orrelation!K1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50" y="2286000"/>
          <a:ext cx="8372475" cy="74485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879</v>
    <v>782</v>
  </a>
</arrayData>
</file>

<file path=xl/richData/rdrichvalue.xml><?xml version="1.0" encoding="utf-8"?>
<rvData xmlns="http://schemas.microsoft.com/office/spreadsheetml/2017/richdata" count="5">
  <rv s="0">
    <fb>0</fb>
    <v>0</v>
  </rv>
  <rv s="1">
    <v>0</v>
    <v>9</v>
  </rv>
  <rv s="2">
    <v>0</v>
  </rv>
  <rv s="3">
    <v>Image</v>
    <v>1</v>
    <v>1</v>
    <v>2</v>
  </rv>
  <rv s="4">
    <v>&lt;class 'PIL.PngImagePlugin.PngImageFile'&gt;</v>
    <v>PngImageFile</v>
    <v>&lt;PIL.PngImagePlugin.PngImageFile image mode=RGBA size=879x782 at 0x7F170E937590&gt;</v>
    <v>3</v>
    <v>2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1">
      <v>2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192DA-90E8-4FB2-B553-E69D1343847D}" name="Table1" displayName="Table1" ref="A1:G27" totalsRowShown="0">
  <autoFilter ref="A1:G27" xr:uid="{D28192DA-90E8-4FB2-B553-E69D1343847D}"/>
  <tableColumns count="7">
    <tableColumn id="1" xr3:uid="{EBD1CEB7-D3C7-4850-AAF4-ED8B395A8C09}" name="journal-date" dataDxfId="2"/>
    <tableColumn id="2" xr3:uid="{3615B444-4525-43FC-964B-7530F5ADC22C}" name="coffee"/>
    <tableColumn id="3" xr3:uid="{D482774F-DD0F-48D3-A213-404B94F076D8}" name="vyvanse"/>
    <tableColumn id="7" xr3:uid="{B1A7C932-4E14-40FD-8561-74292A47A2CC}" name="Body movement"/>
    <tableColumn id="4" xr3:uid="{44B0CB6C-4ED1-4E00-B337-0951B0346704}" name="sleep-hours" dataDxfId="1"/>
    <tableColumn id="5" xr3:uid="{A7029F6A-3FCF-4214-B481-A9DF2770EDAA}" name="fitbit-sleep-score"/>
    <tableColumn id="6" xr3:uid="{45B41E2E-D3F9-4E08-A26E-64080E62A8C9}" name="wake-up-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AD9C-59A0-4A89-8A23-70B931A02A84}">
  <dimension ref="A1:R27"/>
  <sheetViews>
    <sheetView tabSelected="1" topLeftCell="A13" workbookViewId="0">
      <selection activeCell="E1" sqref="E1:G1"/>
    </sheetView>
  </sheetViews>
  <sheetFormatPr defaultRowHeight="15" x14ac:dyDescent="0.25"/>
  <cols>
    <col min="1" max="1" width="16.140625" customWidth="1"/>
    <col min="3" max="3" width="10.42578125" customWidth="1"/>
    <col min="4" max="4" width="14" customWidth="1"/>
    <col min="5" max="5" width="19" customWidth="1"/>
    <col min="6" max="6" width="15.5703125" customWidth="1"/>
    <col min="10" max="10" width="16.140625" bestFit="1" customWidth="1"/>
    <col min="11" max="11" width="14.140625" bestFit="1" customWidth="1"/>
    <col min="12" max="14" width="12.7109375" bestFit="1" customWidth="1"/>
    <col min="15" max="15" width="16.140625" bestFit="1" customWidth="1"/>
    <col min="16" max="16" width="13.28515625" bestFit="1" customWidth="1"/>
  </cols>
  <sheetData>
    <row r="1" spans="1:18" x14ac:dyDescent="0.25">
      <c r="A1" t="s">
        <v>8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s="2" t="s">
        <v>4</v>
      </c>
      <c r="K1" cm="1" vm="1">
        <f t="array" ref="K1">_xlfn._xlws.PY(0,0,Table1[#All])</f>
        <v>0</v>
      </c>
    </row>
    <row r="2" spans="1:18" x14ac:dyDescent="0.25">
      <c r="A2" s="1">
        <v>45766</v>
      </c>
      <c r="B2">
        <v>900</v>
      </c>
      <c r="C2">
        <v>10</v>
      </c>
      <c r="D2">
        <v>4316</v>
      </c>
      <c r="E2" s="2">
        <v>0.29375000000000001</v>
      </c>
      <c r="F2">
        <v>87</v>
      </c>
      <c r="G2" s="2">
        <v>0.20555555555555555</v>
      </c>
    </row>
    <row r="3" spans="1:18" x14ac:dyDescent="0.25">
      <c r="A3" s="1">
        <v>45765</v>
      </c>
      <c r="B3">
        <v>1200</v>
      </c>
      <c r="C3">
        <v>20</v>
      </c>
      <c r="D3">
        <v>4261</v>
      </c>
      <c r="E3" s="2">
        <v>0.31458333333333333</v>
      </c>
      <c r="F3">
        <v>86</v>
      </c>
      <c r="G3" s="2">
        <v>0.2951388888888889</v>
      </c>
      <c r="K3" cm="1" vm="1">
        <f t="array" ref="K3">_xlfn._xlws.PY(1,0)</f>
        <v>0</v>
      </c>
    </row>
    <row r="4" spans="1:18" x14ac:dyDescent="0.25">
      <c r="A4" s="1">
        <v>45767</v>
      </c>
      <c r="B4">
        <v>1200</v>
      </c>
      <c r="C4">
        <v>10</v>
      </c>
      <c r="D4">
        <v>3956</v>
      </c>
      <c r="E4" s="2">
        <v>0.27291666666666664</v>
      </c>
      <c r="F4">
        <v>87</v>
      </c>
      <c r="G4" s="2">
        <v>0.21666666666666667</v>
      </c>
    </row>
    <row r="5" spans="1:18" x14ac:dyDescent="0.25">
      <c r="A5" s="1">
        <v>45768</v>
      </c>
      <c r="B5">
        <v>900</v>
      </c>
      <c r="C5">
        <v>30</v>
      </c>
      <c r="D5">
        <v>5112</v>
      </c>
      <c r="E5" s="2">
        <v>0.26458333333333334</v>
      </c>
      <c r="F5">
        <v>89</v>
      </c>
      <c r="G5" s="2">
        <v>0.21666666666666667</v>
      </c>
      <c r="K5" t="str" cm="1">
        <f t="array" ref="K5:R12">_xlfn._xlws.PY(2,0)</f>
        <v/>
      </c>
      <c r="L5" t="str">
        <v>journal-date</v>
      </c>
      <c r="M5" t="str">
        <v>coffee</v>
      </c>
      <c r="N5" t="str">
        <v>vyvanse</v>
      </c>
      <c r="O5" t="str">
        <v>Body movement</v>
      </c>
      <c r="P5" t="str">
        <v>sleep-hours</v>
      </c>
      <c r="Q5" t="str">
        <v>fitbit-sleep-score</v>
      </c>
      <c r="R5" t="str">
        <v>wake-up-time</v>
      </c>
    </row>
    <row r="6" spans="1:18" x14ac:dyDescent="0.25">
      <c r="A6" s="1">
        <v>45769</v>
      </c>
      <c r="B6">
        <v>900</v>
      </c>
      <c r="C6">
        <v>30</v>
      </c>
      <c r="D6">
        <v>5860</v>
      </c>
      <c r="E6" s="2">
        <v>0.2638888888888889</v>
      </c>
      <c r="F6">
        <v>88</v>
      </c>
      <c r="G6" s="2">
        <v>0.21944444444444444</v>
      </c>
      <c r="K6" t="str">
        <v>journal-date</v>
      </c>
      <c r="L6">
        <v>1</v>
      </c>
      <c r="M6">
        <v>-0.52279901396719974</v>
      </c>
      <c r="N6">
        <v>-0.17647058823528647</v>
      </c>
      <c r="O6">
        <v>0.33660579736664997</v>
      </c>
      <c r="P6">
        <v>-0.1539869682658018</v>
      </c>
      <c r="Q6">
        <v>-0.17165895574958431</v>
      </c>
      <c r="R6">
        <v>-0.14778261412873384</v>
      </c>
    </row>
    <row r="7" spans="1:18" x14ac:dyDescent="0.25">
      <c r="A7" s="1">
        <v>45772</v>
      </c>
      <c r="B7">
        <v>1200</v>
      </c>
      <c r="C7">
        <v>30</v>
      </c>
      <c r="D7">
        <v>4829</v>
      </c>
      <c r="E7" s="2">
        <v>0.22430555555555556</v>
      </c>
      <c r="F7">
        <v>85</v>
      </c>
      <c r="G7" s="2">
        <v>0.21875</v>
      </c>
      <c r="K7" t="str">
        <v>coffee</v>
      </c>
      <c r="L7">
        <v>-0.52279901396719974</v>
      </c>
      <c r="M7">
        <v>1</v>
      </c>
      <c r="N7">
        <v>0.48507125007266588</v>
      </c>
      <c r="O7">
        <v>1.5590364658771332E-2</v>
      </c>
      <c r="P7">
        <v>4.1843017212592849E-2</v>
      </c>
      <c r="Q7">
        <v>-0.22472293098016891</v>
      </c>
      <c r="R7">
        <v>7.6266729697206159E-2</v>
      </c>
    </row>
    <row r="8" spans="1:18" x14ac:dyDescent="0.25">
      <c r="A8" s="1">
        <v>45770</v>
      </c>
      <c r="B8">
        <v>1500</v>
      </c>
      <c r="C8">
        <v>30</v>
      </c>
      <c r="D8">
        <v>6785</v>
      </c>
      <c r="E8" s="2">
        <v>0.25763888888888886</v>
      </c>
      <c r="F8">
        <v>85</v>
      </c>
      <c r="G8" s="2">
        <v>0.2326388888888889</v>
      </c>
      <c r="K8" t="str">
        <v>vyvanse</v>
      </c>
      <c r="L8">
        <v>-0.17647058823528647</v>
      </c>
      <c r="M8">
        <v>0.48507125007266588</v>
      </c>
      <c r="N8">
        <v>1</v>
      </c>
      <c r="O8">
        <v>0.29611445721953422</v>
      </c>
      <c r="P8">
        <v>-0.18189276958351017</v>
      </c>
      <c r="Q8">
        <v>-4.0016339224041103E-2</v>
      </c>
      <c r="R8">
        <v>-3.3991530185908711E-2</v>
      </c>
    </row>
    <row r="9" spans="1:18" x14ac:dyDescent="0.25">
      <c r="A9" s="1">
        <v>45771</v>
      </c>
      <c r="B9">
        <v>1200</v>
      </c>
      <c r="C9">
        <v>30</v>
      </c>
      <c r="D9">
        <v>4154</v>
      </c>
      <c r="E9" s="2">
        <v>0.35</v>
      </c>
      <c r="F9">
        <v>85</v>
      </c>
      <c r="G9" s="2">
        <v>0.34166666666666667</v>
      </c>
      <c r="K9" t="str">
        <v>Body movement</v>
      </c>
      <c r="L9">
        <v>0.33660579736664997</v>
      </c>
      <c r="M9">
        <v>1.5590364658771332E-2</v>
      </c>
      <c r="N9">
        <v>0.29611445721953422</v>
      </c>
      <c r="O9">
        <v>1</v>
      </c>
      <c r="P9">
        <v>4.9612468284058305E-2</v>
      </c>
      <c r="Q9">
        <v>4.1297700607164832E-2</v>
      </c>
      <c r="R9">
        <v>3.2993840206668651E-2</v>
      </c>
    </row>
    <row r="10" spans="1:18" x14ac:dyDescent="0.25">
      <c r="A10" s="1">
        <v>45773</v>
      </c>
      <c r="B10">
        <v>900</v>
      </c>
      <c r="C10">
        <v>20</v>
      </c>
      <c r="D10">
        <v>4750</v>
      </c>
      <c r="E10" s="2">
        <v>0.27708333333333335</v>
      </c>
      <c r="F10">
        <v>87</v>
      </c>
      <c r="G10" s="2">
        <v>0.23194444444444445</v>
      </c>
      <c r="K10" t="str">
        <v>sleep-hours</v>
      </c>
      <c r="L10">
        <v>-0.1539869682658018</v>
      </c>
      <c r="M10">
        <v>4.1843017212592849E-2</v>
      </c>
      <c r="N10">
        <v>-0.18189276958351017</v>
      </c>
      <c r="O10">
        <v>4.9612468284058305E-2</v>
      </c>
      <c r="P10">
        <v>1</v>
      </c>
      <c r="Q10">
        <v>0.19144083918989607</v>
      </c>
      <c r="R10">
        <v>0.6799882701543517</v>
      </c>
    </row>
    <row r="11" spans="1:18" x14ac:dyDescent="0.25">
      <c r="A11" s="1">
        <v>45775</v>
      </c>
      <c r="B11">
        <v>900</v>
      </c>
      <c r="C11">
        <v>30</v>
      </c>
      <c r="D11">
        <v>4681</v>
      </c>
      <c r="E11" s="2">
        <v>0.25555555555555554</v>
      </c>
      <c r="F11">
        <v>90</v>
      </c>
      <c r="G11" s="2">
        <v>0.20972222222222223</v>
      </c>
      <c r="K11" t="str">
        <v>fitbit-sleep-score</v>
      </c>
      <c r="L11">
        <v>-0.17165895574958431</v>
      </c>
      <c r="M11">
        <v>-0.22472293098016891</v>
      </c>
      <c r="N11">
        <v>-4.0016339224041103E-2</v>
      </c>
      <c r="O11">
        <v>4.1297700607164832E-2</v>
      </c>
      <c r="P11">
        <v>0.19144083918989607</v>
      </c>
      <c r="Q11">
        <v>1</v>
      </c>
      <c r="R11">
        <v>7.02023304998311E-2</v>
      </c>
    </row>
    <row r="12" spans="1:18" x14ac:dyDescent="0.25">
      <c r="A12" s="1">
        <v>45774</v>
      </c>
      <c r="B12">
        <v>1200</v>
      </c>
      <c r="C12">
        <v>20</v>
      </c>
      <c r="D12">
        <v>4467</v>
      </c>
      <c r="E12" s="2">
        <v>0.25972222222222224</v>
      </c>
      <c r="F12">
        <v>88</v>
      </c>
      <c r="G12" s="2">
        <v>0.20416666666666666</v>
      </c>
      <c r="K12" t="str">
        <v>wake-up-time</v>
      </c>
      <c r="L12">
        <v>-0.14778261412873384</v>
      </c>
      <c r="M12">
        <v>7.6266729697206159E-2</v>
      </c>
      <c r="N12">
        <v>-3.3991530185908711E-2</v>
      </c>
      <c r="O12">
        <v>3.2993840206668651E-2</v>
      </c>
      <c r="P12">
        <v>0.6799882701543517</v>
      </c>
      <c r="Q12">
        <v>7.02023304998311E-2</v>
      </c>
      <c r="R12">
        <v>1</v>
      </c>
    </row>
    <row r="13" spans="1:18" x14ac:dyDescent="0.25">
      <c r="A13" s="1">
        <v>45776</v>
      </c>
      <c r="B13">
        <v>1200</v>
      </c>
      <c r="C13">
        <v>30</v>
      </c>
      <c r="D13">
        <v>5607</v>
      </c>
      <c r="E13" s="2">
        <v>0.2673611111111111</v>
      </c>
      <c r="F13">
        <v>91</v>
      </c>
      <c r="G13" s="2">
        <v>0.1875</v>
      </c>
      <c r="K13" t="e" cm="1" vm="2">
        <f t="array" ref="K13">_xlfn._xlws.PY(3,1)</f>
        <v>#VALUE!</v>
      </c>
    </row>
    <row r="14" spans="1:18" x14ac:dyDescent="0.25">
      <c r="A14" s="1">
        <v>45777</v>
      </c>
      <c r="B14">
        <v>1500</v>
      </c>
      <c r="C14">
        <v>30</v>
      </c>
      <c r="D14">
        <v>3831</v>
      </c>
      <c r="E14" s="2">
        <v>0.28749999999999998</v>
      </c>
      <c r="F14">
        <v>84</v>
      </c>
      <c r="G14" s="2">
        <v>0.2013888888888889</v>
      </c>
    </row>
    <row r="15" spans="1:18" x14ac:dyDescent="0.25">
      <c r="A15" s="1">
        <v>45779</v>
      </c>
      <c r="B15">
        <v>1500</v>
      </c>
      <c r="C15">
        <v>30</v>
      </c>
      <c r="D15">
        <v>5922</v>
      </c>
      <c r="E15" s="2">
        <v>0.22569444444444445</v>
      </c>
      <c r="F15">
        <v>74</v>
      </c>
      <c r="G15" s="2">
        <v>0.18124999999999999</v>
      </c>
    </row>
    <row r="16" spans="1:18" x14ac:dyDescent="0.25">
      <c r="A16" s="1">
        <v>45778</v>
      </c>
      <c r="B16">
        <v>1200</v>
      </c>
      <c r="C16">
        <v>30</v>
      </c>
      <c r="D16">
        <v>5745</v>
      </c>
      <c r="E16" s="2">
        <v>0.2298611111111111</v>
      </c>
      <c r="F16">
        <v>81</v>
      </c>
      <c r="G16" s="2">
        <v>0.21875</v>
      </c>
    </row>
    <row r="17" spans="1:7" x14ac:dyDescent="0.25">
      <c r="A17" s="1">
        <v>45780</v>
      </c>
      <c r="B17">
        <v>900</v>
      </c>
      <c r="C17">
        <v>20</v>
      </c>
      <c r="D17">
        <v>6710</v>
      </c>
      <c r="E17" s="2">
        <v>0.37361111111111112</v>
      </c>
      <c r="G17" s="2">
        <v>0.31874999999999998</v>
      </c>
    </row>
    <row r="18" spans="1:7" x14ac:dyDescent="0.25">
      <c r="A18" s="1">
        <v>45781</v>
      </c>
      <c r="B18">
        <v>900</v>
      </c>
      <c r="C18">
        <v>20</v>
      </c>
      <c r="D18">
        <v>5928</v>
      </c>
      <c r="E18" s="2">
        <v>0.40486111111111112</v>
      </c>
      <c r="F18">
        <v>86</v>
      </c>
      <c r="G18" s="2">
        <v>0.23055555555555557</v>
      </c>
    </row>
    <row r="19" spans="1:7" x14ac:dyDescent="0.25">
      <c r="A19" s="1">
        <v>45782</v>
      </c>
      <c r="B19">
        <v>600</v>
      </c>
      <c r="C19">
        <v>10</v>
      </c>
      <c r="D19">
        <v>3319</v>
      </c>
      <c r="E19" s="2">
        <v>0.27569444444444446</v>
      </c>
      <c r="F19">
        <v>80</v>
      </c>
      <c r="G19" s="2">
        <v>0.22916666666666666</v>
      </c>
    </row>
    <row r="20" spans="1:7" x14ac:dyDescent="0.25">
      <c r="A20" s="1">
        <v>45784</v>
      </c>
      <c r="B20">
        <v>900</v>
      </c>
      <c r="C20">
        <v>20</v>
      </c>
      <c r="D20">
        <v>5544</v>
      </c>
      <c r="E20" s="2">
        <v>0.27152777777777776</v>
      </c>
      <c r="F20">
        <v>89</v>
      </c>
      <c r="G20" s="2">
        <v>0.22777777777777777</v>
      </c>
    </row>
    <row r="21" spans="1:7" x14ac:dyDescent="0.25">
      <c r="A21" s="1">
        <v>45783</v>
      </c>
      <c r="B21">
        <v>600</v>
      </c>
      <c r="C21">
        <v>20</v>
      </c>
      <c r="D21">
        <v>5531</v>
      </c>
      <c r="E21" s="2">
        <v>0.26041666666666669</v>
      </c>
      <c r="G21" s="2">
        <v>0.22638888888888889</v>
      </c>
    </row>
    <row r="22" spans="1:7" x14ac:dyDescent="0.25">
      <c r="A22" s="1">
        <v>45785</v>
      </c>
      <c r="B22">
        <v>900</v>
      </c>
      <c r="C22">
        <v>20</v>
      </c>
      <c r="D22">
        <v>4851</v>
      </c>
      <c r="E22" s="2">
        <v>0.21666666666666667</v>
      </c>
      <c r="F22">
        <v>85</v>
      </c>
      <c r="G22" s="2">
        <v>0.2048611111111111</v>
      </c>
    </row>
    <row r="23" spans="1:7" x14ac:dyDescent="0.25">
      <c r="A23" s="1">
        <v>45786</v>
      </c>
      <c r="B23">
        <v>900</v>
      </c>
      <c r="C23">
        <v>20</v>
      </c>
      <c r="D23">
        <v>5183</v>
      </c>
      <c r="E23" s="2">
        <v>0.27430555555555558</v>
      </c>
      <c r="F23">
        <v>87</v>
      </c>
      <c r="G23" s="2">
        <v>0.25138888888888888</v>
      </c>
    </row>
    <row r="24" spans="1:7" x14ac:dyDescent="0.25">
      <c r="A24" s="1">
        <v>45787</v>
      </c>
      <c r="B24">
        <v>600</v>
      </c>
      <c r="C24">
        <v>20</v>
      </c>
      <c r="D24">
        <v>5589</v>
      </c>
      <c r="E24" s="2">
        <v>0.22013888888888888</v>
      </c>
      <c r="F24">
        <v>87</v>
      </c>
      <c r="G24" s="2">
        <v>0.18333333333333332</v>
      </c>
    </row>
    <row r="25" spans="1:7" x14ac:dyDescent="0.25">
      <c r="A25" s="1">
        <v>45789</v>
      </c>
      <c r="B25">
        <v>900</v>
      </c>
      <c r="C25">
        <v>20</v>
      </c>
      <c r="D25">
        <v>5783</v>
      </c>
      <c r="E25" s="2">
        <v>0.28611111111111109</v>
      </c>
      <c r="F25">
        <v>86</v>
      </c>
      <c r="G25" s="2">
        <v>0.26527777777777778</v>
      </c>
    </row>
    <row r="26" spans="1:7" x14ac:dyDescent="0.25">
      <c r="A26" s="1">
        <v>45788</v>
      </c>
      <c r="B26">
        <v>900</v>
      </c>
      <c r="C26">
        <v>20</v>
      </c>
      <c r="D26">
        <v>7124</v>
      </c>
      <c r="E26" s="2">
        <v>0.27708333333333335</v>
      </c>
      <c r="F26">
        <v>87</v>
      </c>
      <c r="G26" s="2">
        <v>0.23125000000000001</v>
      </c>
    </row>
    <row r="27" spans="1:7" x14ac:dyDescent="0.25">
      <c r="A27" s="1">
        <v>45790</v>
      </c>
      <c r="B27">
        <v>300</v>
      </c>
      <c r="C27">
        <v>20</v>
      </c>
      <c r="D27">
        <v>4918</v>
      </c>
      <c r="E27" s="2">
        <v>0.23125000000000001</v>
      </c>
      <c r="F27">
        <v>84</v>
      </c>
      <c r="G27" s="2">
        <v>0.1875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6C18-3BFE-44B0-96EC-20E41E3B934D}">
  <dimension ref="A1:G28"/>
  <sheetViews>
    <sheetView workbookViewId="0">
      <selection activeCell="A2" sqref="A2:G27"/>
    </sheetView>
  </sheetViews>
  <sheetFormatPr defaultRowHeight="15" x14ac:dyDescent="0.25"/>
  <cols>
    <col min="1" max="1" width="14.140625" bestFit="1" customWidth="1"/>
  </cols>
  <sheetData>
    <row r="1" spans="1:7" x14ac:dyDescent="0.25">
      <c r="A1" t="s">
        <v>7</v>
      </c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</row>
    <row r="2" spans="1:7" x14ac:dyDescent="0.25">
      <c r="A2" s="1">
        <v>45766</v>
      </c>
      <c r="B2">
        <v>900</v>
      </c>
      <c r="C2">
        <v>10</v>
      </c>
      <c r="D2">
        <v>4316</v>
      </c>
      <c r="E2" s="3">
        <v>0.29375000000000001</v>
      </c>
      <c r="F2">
        <v>87</v>
      </c>
      <c r="G2" s="3">
        <v>0.20555555555555555</v>
      </c>
    </row>
    <row r="3" spans="1:7" x14ac:dyDescent="0.25">
      <c r="A3" s="1">
        <v>45765</v>
      </c>
      <c r="B3">
        <v>1200</v>
      </c>
      <c r="C3">
        <v>20</v>
      </c>
      <c r="D3">
        <v>4261</v>
      </c>
      <c r="E3" s="3">
        <v>0.31458333333333333</v>
      </c>
      <c r="F3">
        <v>86</v>
      </c>
      <c r="G3" s="3">
        <v>0.2951388888888889</v>
      </c>
    </row>
    <row r="4" spans="1:7" x14ac:dyDescent="0.25">
      <c r="A4" s="1">
        <v>45767</v>
      </c>
      <c r="B4">
        <v>1200</v>
      </c>
      <c r="C4">
        <v>10</v>
      </c>
      <c r="D4">
        <v>3956</v>
      </c>
      <c r="E4" s="3">
        <v>0.27291666666666664</v>
      </c>
      <c r="F4">
        <v>87</v>
      </c>
      <c r="G4" s="3">
        <v>0.21666666666666667</v>
      </c>
    </row>
    <row r="5" spans="1:7" x14ac:dyDescent="0.25">
      <c r="A5" s="1">
        <v>45768</v>
      </c>
      <c r="B5">
        <v>900</v>
      </c>
      <c r="C5">
        <v>30</v>
      </c>
      <c r="D5">
        <v>5112</v>
      </c>
      <c r="E5" s="3">
        <v>0.26458333333333334</v>
      </c>
      <c r="F5">
        <v>89</v>
      </c>
      <c r="G5" s="3">
        <v>0.21666666666666667</v>
      </c>
    </row>
    <row r="6" spans="1:7" x14ac:dyDescent="0.25">
      <c r="A6" s="1">
        <v>45769</v>
      </c>
      <c r="B6">
        <v>900</v>
      </c>
      <c r="C6">
        <v>30</v>
      </c>
      <c r="D6">
        <v>5860</v>
      </c>
      <c r="E6" s="3">
        <v>0.2638888888888889</v>
      </c>
      <c r="F6">
        <v>88</v>
      </c>
      <c r="G6" s="3">
        <v>0.21944444444444444</v>
      </c>
    </row>
    <row r="7" spans="1:7" x14ac:dyDescent="0.25">
      <c r="A7" s="1">
        <v>45772</v>
      </c>
      <c r="B7">
        <v>1200</v>
      </c>
      <c r="C7">
        <v>30</v>
      </c>
      <c r="D7">
        <v>4829</v>
      </c>
      <c r="E7" s="3">
        <v>0.22430555555555556</v>
      </c>
      <c r="F7">
        <v>85</v>
      </c>
      <c r="G7" s="3">
        <v>0.21875</v>
      </c>
    </row>
    <row r="8" spans="1:7" x14ac:dyDescent="0.25">
      <c r="A8" s="1">
        <v>45770</v>
      </c>
      <c r="B8">
        <v>1500</v>
      </c>
      <c r="C8">
        <v>30</v>
      </c>
      <c r="D8">
        <v>6785</v>
      </c>
      <c r="E8" s="3">
        <v>0.25763888888888886</v>
      </c>
      <c r="F8">
        <v>85</v>
      </c>
      <c r="G8" s="3">
        <v>0.2326388888888889</v>
      </c>
    </row>
    <row r="9" spans="1:7" x14ac:dyDescent="0.25">
      <c r="A9" s="1">
        <v>45771</v>
      </c>
      <c r="B9">
        <v>1200</v>
      </c>
      <c r="C9">
        <v>30</v>
      </c>
      <c r="D9">
        <v>4154</v>
      </c>
      <c r="E9" s="3">
        <v>0.35</v>
      </c>
      <c r="F9">
        <v>85</v>
      </c>
      <c r="G9" s="3">
        <v>0.34166666666666667</v>
      </c>
    </row>
    <row r="10" spans="1:7" x14ac:dyDescent="0.25">
      <c r="A10" s="1">
        <v>45773</v>
      </c>
      <c r="B10">
        <v>900</v>
      </c>
      <c r="C10">
        <v>20</v>
      </c>
      <c r="D10">
        <v>4750</v>
      </c>
      <c r="E10" s="3">
        <v>0.27708333333333335</v>
      </c>
      <c r="F10">
        <v>87</v>
      </c>
      <c r="G10" s="3">
        <v>0.23194444444444445</v>
      </c>
    </row>
    <row r="11" spans="1:7" x14ac:dyDescent="0.25">
      <c r="A11" s="1">
        <v>45775</v>
      </c>
      <c r="B11">
        <v>900</v>
      </c>
      <c r="C11">
        <v>30</v>
      </c>
      <c r="D11">
        <v>4681</v>
      </c>
      <c r="E11" s="3">
        <v>0.25555555555555554</v>
      </c>
      <c r="F11">
        <v>90</v>
      </c>
      <c r="G11" s="3">
        <v>0.20972222222222223</v>
      </c>
    </row>
    <row r="12" spans="1:7" x14ac:dyDescent="0.25">
      <c r="A12" s="1">
        <v>45774</v>
      </c>
      <c r="B12">
        <v>1200</v>
      </c>
      <c r="C12">
        <v>20</v>
      </c>
      <c r="D12">
        <v>4467</v>
      </c>
      <c r="E12" s="3">
        <v>0.25972222222222224</v>
      </c>
      <c r="F12">
        <v>88</v>
      </c>
      <c r="G12" s="3">
        <v>0.20416666666666666</v>
      </c>
    </row>
    <row r="13" spans="1:7" x14ac:dyDescent="0.25">
      <c r="A13" s="1">
        <v>45776</v>
      </c>
      <c r="B13">
        <v>1200</v>
      </c>
      <c r="C13">
        <v>30</v>
      </c>
      <c r="D13">
        <v>5607</v>
      </c>
      <c r="E13" s="3">
        <v>0.2673611111111111</v>
      </c>
      <c r="F13">
        <v>91</v>
      </c>
      <c r="G13" s="3">
        <v>0.1875</v>
      </c>
    </row>
    <row r="14" spans="1:7" x14ac:dyDescent="0.25">
      <c r="A14" s="1">
        <v>45777</v>
      </c>
      <c r="B14">
        <v>1500</v>
      </c>
      <c r="C14">
        <v>30</v>
      </c>
      <c r="D14">
        <v>3831</v>
      </c>
      <c r="E14" s="3">
        <v>0.28749999999999998</v>
      </c>
      <c r="F14">
        <v>84</v>
      </c>
      <c r="G14" s="3">
        <v>0.2013888888888889</v>
      </c>
    </row>
    <row r="15" spans="1:7" x14ac:dyDescent="0.25">
      <c r="A15" s="1">
        <v>45779</v>
      </c>
      <c r="B15">
        <v>1500</v>
      </c>
      <c r="C15">
        <v>30</v>
      </c>
      <c r="D15">
        <v>5922</v>
      </c>
      <c r="E15" s="3">
        <v>0.22569444444444445</v>
      </c>
      <c r="F15">
        <v>74</v>
      </c>
      <c r="G15" s="3">
        <v>0.18124999999999999</v>
      </c>
    </row>
    <row r="16" spans="1:7" x14ac:dyDescent="0.25">
      <c r="A16" s="1">
        <v>45778</v>
      </c>
      <c r="B16">
        <v>1200</v>
      </c>
      <c r="C16">
        <v>30</v>
      </c>
      <c r="D16">
        <v>5745</v>
      </c>
      <c r="E16" s="3">
        <v>0.2298611111111111</v>
      </c>
      <c r="F16">
        <v>81</v>
      </c>
      <c r="G16" s="3">
        <v>0.21875</v>
      </c>
    </row>
    <row r="17" spans="1:7" x14ac:dyDescent="0.25">
      <c r="A17" s="1">
        <v>45780</v>
      </c>
      <c r="B17">
        <v>900</v>
      </c>
      <c r="C17">
        <v>20</v>
      </c>
      <c r="D17">
        <v>6710</v>
      </c>
      <c r="E17" s="3">
        <v>0.37361111111111112</v>
      </c>
      <c r="F17" t="s">
        <v>5</v>
      </c>
      <c r="G17" s="3">
        <v>0.31874999999999998</v>
      </c>
    </row>
    <row r="18" spans="1:7" x14ac:dyDescent="0.25">
      <c r="A18" s="1">
        <v>45781</v>
      </c>
      <c r="B18">
        <v>900</v>
      </c>
      <c r="C18">
        <v>20</v>
      </c>
      <c r="D18">
        <v>5928</v>
      </c>
      <c r="E18" s="3">
        <v>0.40486111111111112</v>
      </c>
      <c r="F18">
        <v>86</v>
      </c>
      <c r="G18" s="3">
        <v>0.23055555555555557</v>
      </c>
    </row>
    <row r="19" spans="1:7" x14ac:dyDescent="0.25">
      <c r="A19" s="1">
        <v>45782</v>
      </c>
      <c r="B19">
        <v>600</v>
      </c>
      <c r="C19">
        <v>10</v>
      </c>
      <c r="D19">
        <v>3319</v>
      </c>
      <c r="E19" s="3">
        <v>0.27569444444444446</v>
      </c>
      <c r="F19">
        <v>80</v>
      </c>
      <c r="G19" s="3">
        <v>0.22916666666666666</v>
      </c>
    </row>
    <row r="20" spans="1:7" x14ac:dyDescent="0.25">
      <c r="A20" s="1">
        <v>45784</v>
      </c>
      <c r="B20">
        <v>900</v>
      </c>
      <c r="C20">
        <v>20</v>
      </c>
      <c r="D20">
        <v>5544</v>
      </c>
      <c r="E20" s="3">
        <v>0.27152777777777776</v>
      </c>
      <c r="F20">
        <v>89</v>
      </c>
      <c r="G20" s="3">
        <v>0.22777777777777777</v>
      </c>
    </row>
    <row r="21" spans="1:7" x14ac:dyDescent="0.25">
      <c r="A21" s="1">
        <v>45783</v>
      </c>
      <c r="B21">
        <v>600</v>
      </c>
      <c r="C21">
        <v>20</v>
      </c>
      <c r="D21">
        <v>5531</v>
      </c>
      <c r="E21" s="3">
        <v>0.26041666666666669</v>
      </c>
      <c r="F21" t="s">
        <v>5</v>
      </c>
      <c r="G21" s="3">
        <v>0.22638888888888889</v>
      </c>
    </row>
    <row r="22" spans="1:7" x14ac:dyDescent="0.25">
      <c r="A22" s="1">
        <v>45785</v>
      </c>
      <c r="B22">
        <v>900</v>
      </c>
      <c r="C22">
        <v>20</v>
      </c>
      <c r="D22">
        <v>4851</v>
      </c>
      <c r="E22" s="3">
        <v>0.21666666666666667</v>
      </c>
      <c r="F22">
        <v>85</v>
      </c>
      <c r="G22" s="3">
        <v>0.2048611111111111</v>
      </c>
    </row>
    <row r="23" spans="1:7" x14ac:dyDescent="0.25">
      <c r="A23" s="1">
        <v>45786</v>
      </c>
      <c r="B23">
        <v>900</v>
      </c>
      <c r="C23">
        <v>20</v>
      </c>
      <c r="D23">
        <v>5183</v>
      </c>
      <c r="E23" s="3">
        <v>0.27430555555555558</v>
      </c>
      <c r="F23">
        <v>87</v>
      </c>
      <c r="G23" s="3">
        <v>0.25138888888888888</v>
      </c>
    </row>
    <row r="24" spans="1:7" x14ac:dyDescent="0.25">
      <c r="A24" s="1">
        <v>45787</v>
      </c>
      <c r="B24">
        <v>600</v>
      </c>
      <c r="C24">
        <v>20</v>
      </c>
      <c r="D24">
        <v>5589</v>
      </c>
      <c r="E24" s="3">
        <v>0.22013888888888888</v>
      </c>
      <c r="F24">
        <v>87</v>
      </c>
      <c r="G24" s="3">
        <v>0.18333333333333332</v>
      </c>
    </row>
    <row r="25" spans="1:7" x14ac:dyDescent="0.25">
      <c r="A25" s="1">
        <v>45789</v>
      </c>
      <c r="B25">
        <v>900</v>
      </c>
      <c r="C25">
        <v>20</v>
      </c>
      <c r="D25">
        <v>5783</v>
      </c>
      <c r="E25" s="3">
        <v>0.28611111111111109</v>
      </c>
      <c r="F25">
        <v>86</v>
      </c>
      <c r="G25" s="3">
        <v>0.26527777777777778</v>
      </c>
    </row>
    <row r="26" spans="1:7" x14ac:dyDescent="0.25">
      <c r="A26" s="1">
        <v>45788</v>
      </c>
      <c r="B26">
        <v>900</v>
      </c>
      <c r="C26">
        <v>20</v>
      </c>
      <c r="D26">
        <v>7124</v>
      </c>
      <c r="E26" s="3">
        <v>0.27708333333333335</v>
      </c>
      <c r="F26">
        <v>87</v>
      </c>
      <c r="G26" s="3">
        <v>0.23125000000000001</v>
      </c>
    </row>
    <row r="27" spans="1:7" x14ac:dyDescent="0.25">
      <c r="A27" s="1">
        <v>45790</v>
      </c>
      <c r="B27">
        <v>300</v>
      </c>
      <c r="C27">
        <v>20</v>
      </c>
      <c r="D27">
        <v>4918</v>
      </c>
      <c r="E27" s="3">
        <v>0.23125000000000001</v>
      </c>
      <c r="F27">
        <v>84</v>
      </c>
      <c r="G27" s="3">
        <v>0.1875</v>
      </c>
    </row>
    <row r="28" spans="1:7" x14ac:dyDescent="0.25">
      <c r="A28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FE45-7C95-4B37-A3AD-FBE0DF5A344D}">
  <dimension ref="A1"/>
  <sheetViews>
    <sheetView workbookViewId="0">
      <selection activeCell="L15" sqref="L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</vt:lpstr>
      <vt:lpstr>table-export-003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Perrin</dc:creator>
  <cp:lastModifiedBy>Mark Perrin</cp:lastModifiedBy>
  <dcterms:created xsi:type="dcterms:W3CDTF">2025-05-15T13:26:03Z</dcterms:created>
  <dcterms:modified xsi:type="dcterms:W3CDTF">2025-05-15T14:00:30Z</dcterms:modified>
</cp:coreProperties>
</file>